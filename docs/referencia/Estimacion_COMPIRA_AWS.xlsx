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 Estimación" sheetId="1" r:id="rId5"/>
    <sheet state="visible" name="Estimació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Aprovisionamiento+Desarrollo+Pruebas unitarias
</t>
      </text>
    </comment>
  </commentList>
</comments>
</file>

<file path=xl/sharedStrings.xml><?xml version="1.0" encoding="utf-8"?>
<sst xmlns="http://schemas.openxmlformats.org/spreadsheetml/2006/main" count="143" uniqueCount="133">
  <si>
    <t>FUNCIONABILIDAD / MODULO</t>
  </si>
  <si>
    <t>ACTIVIDAD / TAREA</t>
  </si>
  <si>
    <t>TIEMPOS/HORAS</t>
  </si>
  <si>
    <t>Requisitos</t>
  </si>
  <si>
    <t>Entendimiento</t>
  </si>
  <si>
    <t>Contexto pyme y problema de dispersión de información</t>
  </si>
  <si>
    <t>Estado de arte</t>
  </si>
  <si>
    <t>Antecedentes, marco metodológico y revisión bibliográfica</t>
  </si>
  <si>
    <t>BPMN</t>
  </si>
  <si>
    <t>Modelado del proceso actual y flujo objetivo (as-is / to-be)</t>
  </si>
  <si>
    <t>Alcance</t>
  </si>
  <si>
    <t>Objetivos, roles, exclusiones y alcance funcional</t>
  </si>
  <si>
    <t>Backlog</t>
  </si>
  <si>
    <t>Priorización inicial de historias de usuario y criterios de aceptación</t>
  </si>
  <si>
    <t>Análisis</t>
  </si>
  <si>
    <t>Requisitos funcionales</t>
  </si>
  <si>
    <t>Definición de módulos M1-M5 y reglas de negocio</t>
  </si>
  <si>
    <t>Requisitos no funcionales</t>
  </si>
  <si>
    <t>Usabilidad, seguridad, mantenibilidad y escalabilidad</t>
  </si>
  <si>
    <t>Actores y permisos</t>
  </si>
  <si>
    <t>Administrador, coordinador y colaborador</t>
  </si>
  <si>
    <t>Indicadores</t>
  </si>
  <si>
    <t>Criterios de productividad y reportes del panel</t>
  </si>
  <si>
    <t>Refinamiento</t>
  </si>
  <si>
    <t>Backlog, HU y trazabilidad con objetivos específicos</t>
  </si>
  <si>
    <t>Revisión</t>
  </si>
  <si>
    <t>Ajustes de análisis y cierre de alcance</t>
  </si>
  <si>
    <t>Arquitectura</t>
  </si>
  <si>
    <t>Arquitectura lógica</t>
  </si>
  <si>
    <t>Frontend React.js, backend Spring Boot y API REST</t>
  </si>
  <si>
    <t>Arquitectura AWS</t>
  </si>
  <si>
    <t>CloudFront, S3, API Gateway, Cognito, ALB, ECS Fargate, ECR y VPC</t>
  </si>
  <si>
    <t>Datos</t>
  </si>
  <si>
    <t>Modelo relacional y persistencia en Aurora PostgreSQL</t>
  </si>
  <si>
    <t>Infraestructura</t>
  </si>
  <si>
    <t>Terraform, secretos, observabilidad y ambientes base</t>
  </si>
  <si>
    <t>Desarrollo</t>
  </si>
  <si>
    <t>Módulo 1</t>
  </si>
  <si>
    <t>Autenticación y gestión de roles</t>
  </si>
  <si>
    <t>Módulo 2</t>
  </si>
  <si>
    <t>Gestión de tareas y trazabilidad</t>
  </si>
  <si>
    <t>Módulos 3 y 4</t>
  </si>
  <si>
    <t>Recordatorios automáticos, panel e indicadores</t>
  </si>
  <si>
    <t>Módulo 5</t>
  </si>
  <si>
    <t>Administración, roles y reportes</t>
  </si>
  <si>
    <t>Integración</t>
  </si>
  <si>
    <t>Integración técnica, despliegue cloud y manuales</t>
  </si>
  <si>
    <t>Pruebas QA</t>
  </si>
  <si>
    <t>Diseño de pruebas</t>
  </si>
  <si>
    <t>Casos funcionales y de integración por módulo</t>
  </si>
  <si>
    <t>Ejecución</t>
  </si>
  <si>
    <t>Pruebas funcionales, integración y regresión</t>
  </si>
  <si>
    <t>Usabilidad y ajustes</t>
  </si>
  <si>
    <t>Validación con usuarios pyme y cierre de hallazgos</t>
  </si>
  <si>
    <t>Documentación / Gestión / Entrega</t>
  </si>
  <si>
    <t>Seguimiento, manuales, despliegue final y cierre del proyecto</t>
  </si>
  <si>
    <t>TOTAL</t>
  </si>
  <si>
    <t>Estimación de tiempos desarrollo COMPIRA</t>
  </si>
  <si>
    <t>Número de Colaboradores</t>
  </si>
  <si>
    <t>#</t>
  </si>
  <si>
    <t>Número de fases</t>
  </si>
  <si>
    <t>ACTIVIDAD</t>
  </si>
  <si>
    <t>HORAS</t>
  </si>
  <si>
    <t>OBSERVACIÓN</t>
  </si>
  <si>
    <t>0. REQUISITOS</t>
  </si>
  <si>
    <t>Diagnóstico del contexto pyme</t>
  </si>
  <si>
    <t>Documentar alcance y objetivos</t>
  </si>
  <si>
    <t>Personal days</t>
  </si>
  <si>
    <t>Modelado BPMN as-is / to-be</t>
  </si>
  <si>
    <t>Estimación y backlog inicial</t>
  </si>
  <si>
    <t>Días</t>
  </si>
  <si>
    <t>1. ANALISIS</t>
  </si>
  <si>
    <t>Requisitos+Analisis</t>
  </si>
  <si>
    <t>Requisitos funcionales y no funcionales</t>
  </si>
  <si>
    <t xml:space="preserve">Aprovisionamiento+Desarrollo </t>
  </si>
  <si>
    <t>Actores, permisos y gobernanza</t>
  </si>
  <si>
    <t xml:space="preserve">Pruebas </t>
  </si>
  <si>
    <t>Indicadores de productividad</t>
  </si>
  <si>
    <t xml:space="preserve">Documentación </t>
  </si>
  <si>
    <t>Refinamiento de HU</t>
  </si>
  <si>
    <t xml:space="preserve">Gestión </t>
  </si>
  <si>
    <t>Revisión del alcance</t>
  </si>
  <si>
    <t xml:space="preserve">Capacitacion </t>
  </si>
  <si>
    <t>2. Diseño Arquitectura</t>
  </si>
  <si>
    <t xml:space="preserve">Despliegue produccion </t>
  </si>
  <si>
    <t>Modelo de datos</t>
  </si>
  <si>
    <t>Terraform y observabilidad</t>
  </si>
  <si>
    <t>3. CONSTRUCCIÓN</t>
  </si>
  <si>
    <t>Módulo 1 - Autenticación y roles</t>
  </si>
  <si>
    <t>Módulo 2 - Gestión de tareas</t>
  </si>
  <si>
    <t>Módulos 3 y 4 - Recordatorios y panel</t>
  </si>
  <si>
    <t>Módulo 5 - Administración y reportes</t>
  </si>
  <si>
    <t>Integración y despliegue técnico</t>
  </si>
  <si>
    <t>Manual técnico y ajustes de construcción</t>
  </si>
  <si>
    <t>4. PRUEBAS</t>
  </si>
  <si>
    <t>RECURSO</t>
  </si>
  <si>
    <t>TARIFA/HORA</t>
  </si>
  <si>
    <t>COSTO</t>
  </si>
  <si>
    <t>Diseño de casos</t>
  </si>
  <si>
    <t>Desarrollador backend/cloud</t>
  </si>
  <si>
    <t>Pruebas funcionales</t>
  </si>
  <si>
    <t>Desarrollador frontend/full stack</t>
  </si>
  <si>
    <t>Pruebas de integración / regresión</t>
  </si>
  <si>
    <t>QA / validación funcional</t>
  </si>
  <si>
    <t>Pruebas de usabilidad y cierre</t>
  </si>
  <si>
    <t>Coordinación / Product Owner</t>
  </si>
  <si>
    <t>5. DOCUMENTACIÓN</t>
  </si>
  <si>
    <t>Manual de usuario e instalación</t>
  </si>
  <si>
    <t>6. GESTIÓN DEL PROYECTO</t>
  </si>
  <si>
    <t>Planeación del proyecto</t>
  </si>
  <si>
    <t>Seguimiento con dirección / interesados</t>
  </si>
  <si>
    <t>Seguimiento interno</t>
  </si>
  <si>
    <t>Cierre del proyecto</t>
  </si>
  <si>
    <t>7. ENTREGA</t>
  </si>
  <si>
    <t>Despliegue cloud y entrega final</t>
  </si>
  <si>
    <t>8. OTROS</t>
  </si>
  <si>
    <t>Reserva / otros</t>
  </si>
  <si>
    <t>Actividad</t>
  </si>
  <si>
    <t>Horas</t>
  </si>
  <si>
    <t>% Propuesto</t>
  </si>
  <si>
    <t>Jornada Horas</t>
  </si>
  <si>
    <t>Gestión de proyecto</t>
  </si>
  <si>
    <t>Diseño</t>
  </si>
  <si>
    <t>Construcción</t>
  </si>
  <si>
    <t>Pruebas</t>
  </si>
  <si>
    <t>Documentación</t>
  </si>
  <si>
    <t>Implementación (Paso a producción)</t>
  </si>
  <si>
    <t>Capacitación</t>
  </si>
  <si>
    <t>TOTAL HORAS</t>
  </si>
  <si>
    <t>ESTIMACIÓN EN DÍAS</t>
  </si>
  <si>
    <t>Días hábiles</t>
  </si>
  <si>
    <t>Semanas hábiles</t>
  </si>
  <si>
    <t>12 semanas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</si>
</sst>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"/>
    <numFmt numFmtId="166" formatCode="_-&quot;$&quot;\ * #,##0.00_-;\-&quot;$&quot;\ * #,##0.00_-;_-&quot;$&quot;\ * &quot;-&quot;??_-;_-@"/>
  </numFmts>
  <fonts count="19">
    <font>
      <sz val="10.0"/>
      <color rgb="FF000000"/>
      <name val="Arial"/>
      <scheme val="minor"/>
    </font>
    <font>
      <sz val="11.0"/>
      <color theme="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969696"/>
      <name val="Century Gothic"/>
    </font>
    <font/>
    <font>
      <b/>
      <sz val="10.0"/>
      <color theme="1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22.0"/>
      <color rgb="FF000000"/>
      <name val="Arial"/>
    </font>
    <font>
      <color theme="1"/>
      <name val="Arial"/>
      <scheme val="minor"/>
    </font>
    <font>
      <sz val="10.0"/>
      <color rgb="FFFF0000"/>
      <name val="Arial"/>
    </font>
    <font>
      <b/>
      <sz val="10.0"/>
      <color rgb="FFE36C09"/>
      <name val="Century Gothic"/>
    </font>
    <font>
      <sz val="11.0"/>
      <color rgb="FF1F4E78"/>
      <name val="Tahoma"/>
    </font>
    <font>
      <b/>
      <sz val="14.0"/>
      <color theme="1"/>
      <name val="Century Gothic"/>
    </font>
    <font>
      <b/>
      <sz val="11.0"/>
      <color rgb="FF1F4E78"/>
      <name val="Tahoma"/>
    </font>
    <font>
      <b/>
      <sz val="10.0"/>
      <color rgb="FF1F497D"/>
      <name val="Century Gothic"/>
    </font>
    <font>
      <b/>
      <sz val="12.0"/>
      <color theme="1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969696"/>
        <bgColor rgb="FF969696"/>
      </patternFill>
    </fill>
    <fill>
      <patternFill patternType="solid">
        <fgColor rgb="FF8DB3E2"/>
        <bgColor rgb="FF8DB3E2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  <fill>
      <patternFill patternType="solid">
        <fgColor rgb="FF244061"/>
        <bgColor rgb="FF244061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1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0" fillId="3" fontId="3" numFmtId="0" xfId="0" applyAlignment="1" applyFill="1" applyFont="1">
      <alignment shrinkToFit="0" vertical="center" wrapText="1"/>
    </xf>
    <xf borderId="1" fillId="3" fontId="3" numFmtId="0" xfId="0" applyAlignment="1" applyBorder="1" applyFill="1" applyFont="1">
      <alignment shrinkToFit="0" wrapText="1"/>
    </xf>
    <xf borderId="1" fillId="3" fontId="4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shrinkToFit="0" wrapText="1"/>
    </xf>
    <xf borderId="1" fillId="4" fontId="3" numFmtId="0" xfId="0" applyAlignment="1" applyBorder="1" applyFill="1" applyFont="1">
      <alignment horizontal="center" shrinkToFit="0" wrapText="1"/>
    </xf>
    <xf borderId="0" fillId="4" fontId="2" numFmtId="0" xfId="0" applyAlignment="1" applyFill="1" applyFont="1">
      <alignment shrinkToFit="0" wrapText="1"/>
    </xf>
    <xf borderId="1" fillId="5" fontId="3" numFmtId="0" xfId="0" applyAlignment="1" applyBorder="1" applyFill="1" applyFont="1">
      <alignment shrinkToFit="0" wrapText="1"/>
    </xf>
    <xf borderId="1" fillId="5" fontId="4" numFmtId="0" xfId="0" applyAlignment="1" applyBorder="1" applyFill="1" applyFont="1">
      <alignment horizontal="center" shrinkToFit="0" wrapText="1"/>
    </xf>
    <xf borderId="1" fillId="6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shrinkToFit="0" wrapText="1"/>
    </xf>
    <xf borderId="1" fillId="6" fontId="4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shrinkToFit="0" vertical="center" wrapText="1"/>
    </xf>
    <xf borderId="1" fillId="7" fontId="3" numFmtId="0" xfId="0" applyAlignment="1" applyBorder="1" applyFill="1" applyFont="1">
      <alignment shrinkToFit="0" vertical="center" wrapText="1"/>
    </xf>
    <xf borderId="1" fillId="7" fontId="3" numFmtId="0" xfId="0" applyAlignment="1" applyBorder="1" applyFill="1" applyFont="1">
      <alignment shrinkToFit="0" wrapText="1"/>
    </xf>
    <xf borderId="1" fillId="7" fontId="4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left" shrinkToFit="0" wrapText="1"/>
    </xf>
    <xf borderId="1" fillId="5" fontId="3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right" shrinkToFit="0" wrapText="1"/>
    </xf>
    <xf borderId="1" fillId="4" fontId="4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2" fillId="0" fontId="6" numFmtId="0" xfId="0" applyBorder="1" applyFont="1"/>
    <xf borderId="3" fillId="8" fontId="7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3" fillId="9" fontId="7" numFmtId="0" xfId="0" applyAlignment="1" applyBorder="1" applyFill="1" applyFont="1">
      <alignment horizontal="center" shrinkToFit="0" wrapText="1"/>
    </xf>
    <xf borderId="1" fillId="10" fontId="7" numFmtId="0" xfId="0" applyAlignment="1" applyBorder="1" applyFill="1" applyFont="1">
      <alignment horizontal="center" shrinkToFit="0" wrapText="1"/>
    </xf>
    <xf borderId="1" fillId="11" fontId="7" numFmtId="0" xfId="0" applyAlignment="1" applyBorder="1" applyFill="1" applyFont="1">
      <alignment shrinkToFit="0" wrapText="1"/>
    </xf>
    <xf borderId="1" fillId="11" fontId="7" numFmtId="164" xfId="0" applyAlignment="1" applyBorder="1" applyFill="1" applyFont="1" applyNumberFormat="1">
      <alignment horizontal="center" shrinkToFit="0" wrapText="1"/>
    </xf>
    <xf borderId="1" fillId="11" fontId="7" numFmtId="0" xfId="0" applyAlignment="1" applyBorder="1" applyFill="1" applyFont="1">
      <alignment horizontal="center" shrinkToFit="0" wrapText="1"/>
    </xf>
    <xf borderId="1" fillId="4" fontId="8" numFmtId="0" xfId="0" applyAlignment="1" applyBorder="1" applyFill="1" applyFont="1">
      <alignment horizontal="left" shrinkToFit="0" wrapText="1"/>
    </xf>
    <xf borderId="1" fillId="4" fontId="9" numFmtId="164" xfId="0" applyAlignment="1" applyBorder="1" applyFill="1" applyFont="1" applyNumberForma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4" fillId="12" fontId="10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12" fontId="2" numFmtId="0" xfId="0" applyBorder="1" applyFill="1" applyFont="1"/>
    <xf borderId="0" fillId="0" fontId="11" numFmtId="0" xfId="0" applyFont="1"/>
    <xf borderId="1" fillId="13" fontId="2" numFmtId="0" xfId="0" applyAlignment="1" applyBorder="1" applyFill="1" applyFont="1">
      <alignment shrinkToFit="0" wrapText="1"/>
    </xf>
    <xf borderId="1" fillId="13" fontId="2" numFmtId="0" xfId="0" applyBorder="1" applyFill="1" applyFont="1"/>
    <xf borderId="1" fillId="0" fontId="8" numFmtId="0" xfId="0" applyAlignment="1" applyBorder="1" applyFont="1">
      <alignment shrinkToFit="0" wrapText="1"/>
    </xf>
    <xf borderId="1" fillId="4" fontId="9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shrinkToFit="0" wrapText="1"/>
    </xf>
    <xf borderId="1" fillId="6" fontId="2" numFmtId="0" xfId="0" applyBorder="1" applyFill="1" applyFont="1"/>
    <xf borderId="1" fillId="4" fontId="9" numFmtId="0" xfId="0" applyAlignment="1" applyBorder="1" applyFill="1" applyFont="1">
      <alignment shrinkToFit="0" wrapText="1"/>
    </xf>
    <xf borderId="1" fillId="14" fontId="2" numFmtId="0" xfId="0" applyBorder="1" applyFill="1" applyFont="1"/>
    <xf borderId="1" fillId="9" fontId="2" numFmtId="0" xfId="0" applyBorder="1" applyFill="1" applyFont="1"/>
    <xf borderId="1" fillId="15" fontId="2" numFmtId="0" xfId="0" applyBorder="1" applyFill="1" applyFont="1"/>
    <xf borderId="0" fillId="15" fontId="2" numFmtId="0" xfId="0" applyFill="1" applyFont="1"/>
    <xf borderId="1" fillId="11" fontId="9" numFmtId="0" xfId="0" applyAlignment="1" applyBorder="1" applyFill="1" applyFont="1">
      <alignment shrinkToFit="0" wrapText="1"/>
    </xf>
    <xf borderId="0" fillId="9" fontId="2" numFmtId="0" xfId="0" applyFill="1" applyFont="1"/>
    <xf borderId="1" fillId="0" fontId="9" numFmtId="0" xfId="0" applyAlignment="1" applyBorder="1" applyFont="1">
      <alignment shrinkToFit="0" wrapText="1"/>
    </xf>
    <xf borderId="0" fillId="0" fontId="2" numFmtId="0" xfId="0" applyAlignment="1" applyFont="1">
      <alignment shrinkToFit="0" vertical="center" wrapText="1"/>
    </xf>
    <xf borderId="1" fillId="16" fontId="9" numFmtId="0" xfId="0" applyAlignment="1" applyBorder="1" applyFill="1" applyFont="1">
      <alignment shrinkToFit="0" wrapText="1"/>
    </xf>
    <xf borderId="1" fillId="16" fontId="9" numFmtId="164" xfId="0" applyAlignment="1" applyBorder="1" applyFill="1" applyFont="1" applyNumberFormat="1">
      <alignment horizontal="center" shrinkToFit="0" wrapText="1"/>
    </xf>
    <xf borderId="0" fillId="0" fontId="2" numFmtId="165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shrinkToFit="0" wrapText="1"/>
    </xf>
    <xf borderId="0" fillId="0" fontId="12" numFmtId="0" xfId="0" applyAlignment="1" applyFont="1">
      <alignment shrinkToFit="0" wrapText="1"/>
    </xf>
    <xf borderId="1" fillId="17" fontId="7" numFmtId="0" xfId="0" applyAlignment="1" applyBorder="1" applyFill="1" applyFont="1">
      <alignment shrinkToFit="0" wrapText="1"/>
    </xf>
    <xf borderId="1" fillId="17" fontId="7" numFmtId="164" xfId="0" applyAlignment="1" applyBorder="1" applyFill="1" applyFont="1" applyNumberForma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shrinkToFit="0" wrapText="1"/>
    </xf>
    <xf borderId="0" fillId="0" fontId="9" numFmtId="164" xfId="0" applyAlignment="1" applyFont="1" applyNumberFormat="1">
      <alignment shrinkToFit="0" wrapText="1"/>
    </xf>
    <xf borderId="10" fillId="18" fontId="13" numFmtId="164" xfId="0" applyAlignment="1" applyBorder="1" applyFill="1" applyFont="1" applyNumberFormat="1">
      <alignment horizontal="center" shrinkToFit="0" wrapText="1"/>
    </xf>
    <xf borderId="11" fillId="0" fontId="6" numFmtId="0" xfId="0" applyBorder="1" applyFont="1"/>
    <xf borderId="12" fillId="0" fontId="6" numFmtId="0" xfId="0" applyBorder="1" applyFont="1"/>
    <xf borderId="0" fillId="0" fontId="14" numFmtId="0" xfId="0" applyAlignment="1" applyFont="1">
      <alignment shrinkToFit="0" vertical="center" wrapText="1"/>
    </xf>
    <xf borderId="0" fillId="0" fontId="9" numFmtId="164" xfId="0" applyAlignment="1" applyFont="1" applyNumberFormat="1">
      <alignment horizontal="center" shrinkToFit="0" wrapText="1"/>
    </xf>
    <xf borderId="0" fillId="18" fontId="13" numFmtId="9" xfId="0" applyAlignment="1" applyFill="1" applyFont="1" applyNumberFormat="1">
      <alignment horizontal="center" shrinkToFit="0" wrapText="1"/>
    </xf>
    <xf borderId="13" fillId="0" fontId="7" numFmtId="164" xfId="0" applyAlignment="1" applyBorder="1" applyFont="1" applyNumberFormat="1">
      <alignment horizontal="center" shrinkToFit="0" wrapText="1"/>
    </xf>
    <xf borderId="12" fillId="0" fontId="7" numFmtId="164" xfId="0" applyAlignment="1" applyBorder="1" applyFont="1" applyNumberFormat="1">
      <alignment horizontal="center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9" numFmtId="9" xfId="0" applyAlignment="1" applyFont="1" applyNumberFormat="1">
      <alignment horizontal="center" shrinkToFit="0" wrapText="1"/>
    </xf>
    <xf borderId="14" fillId="0" fontId="15" numFmtId="1" xfId="0" applyAlignment="1" applyBorder="1" applyFont="1" applyNumberFormat="1">
      <alignment horizontal="center" shrinkToFit="0" vertical="center" wrapText="1"/>
    </xf>
    <xf borderId="14" fillId="0" fontId="15" numFmtId="164" xfId="0" applyAlignment="1" applyBorder="1" applyFont="1" applyNumberFormat="1">
      <alignment horizontal="center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15" fillId="0" fontId="6" numFmtId="0" xfId="0" applyBorder="1" applyFont="1"/>
    <xf borderId="0" fillId="0" fontId="14" numFmtId="9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164" xfId="0" applyAlignment="1" applyFont="1" applyNumberFormat="1">
      <alignment horizontal="center" shrinkToFit="0" wrapText="1"/>
    </xf>
    <xf borderId="0" fillId="0" fontId="17" numFmtId="9" xfId="0" applyAlignment="1" applyFont="1" applyNumberFormat="1">
      <alignment horizontal="center" shrinkToFit="0" wrapText="1"/>
    </xf>
    <xf borderId="0" fillId="0" fontId="17" numFmtId="164" xfId="0" applyAlignment="1" applyFont="1" applyNumberForma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2" numFmtId="3" xfId="0" applyAlignment="1" applyFont="1" applyNumberFormat="1">
      <alignment shrinkToFit="0" wrapText="1"/>
    </xf>
    <xf borderId="14" fillId="0" fontId="18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68.0"/>
    <col customWidth="1" min="3" max="3" width="14.0"/>
    <col customWidth="1" min="4" max="6" width="10.63"/>
  </cols>
  <sheetData>
    <row r="1" ht="26.2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3</v>
      </c>
      <c r="B2" s="5"/>
      <c r="C2" s="6">
        <f>SUM(C3:C7)</f>
        <v>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7" t="s">
        <v>4</v>
      </c>
      <c r="B3" s="7" t="s">
        <v>5</v>
      </c>
      <c r="C3" s="8">
        <v>8.0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7" t="s">
        <v>6</v>
      </c>
      <c r="B4" s="7" t="s">
        <v>7</v>
      </c>
      <c r="C4" s="8">
        <v>8.0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7" t="s">
        <v>8</v>
      </c>
      <c r="B5" s="7" t="s">
        <v>9</v>
      </c>
      <c r="C5" s="8">
        <v>7.0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7" t="s">
        <v>10</v>
      </c>
      <c r="B6" s="7" t="s">
        <v>11</v>
      </c>
      <c r="C6" s="8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9" t="s">
        <v>12</v>
      </c>
      <c r="B7" s="7" t="s">
        <v>13</v>
      </c>
      <c r="C7" s="8">
        <v>5.0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0" t="s">
        <v>14</v>
      </c>
      <c r="B8" s="10"/>
      <c r="C8" s="11">
        <f>SUM(C9:C14)</f>
        <v>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7" t="s">
        <v>15</v>
      </c>
      <c r="B9" s="7" t="s">
        <v>16</v>
      </c>
      <c r="C9" s="8">
        <v>6.0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7" t="s">
        <v>17</v>
      </c>
      <c r="B10" s="7" t="s">
        <v>18</v>
      </c>
      <c r="C10" s="8">
        <v>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7" t="s">
        <v>19</v>
      </c>
      <c r="B11" s="7" t="s">
        <v>20</v>
      </c>
      <c r="C11" s="8">
        <v>4.0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7" t="s">
        <v>21</v>
      </c>
      <c r="B12" s="7" t="s">
        <v>22</v>
      </c>
      <c r="C12" s="8">
        <v>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7" t="s">
        <v>23</v>
      </c>
      <c r="B13" s="7" t="s">
        <v>24</v>
      </c>
      <c r="C13" s="8">
        <v>4.0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7" t="s">
        <v>25</v>
      </c>
      <c r="B14" s="7" t="s">
        <v>26</v>
      </c>
      <c r="C14" s="8">
        <v>4.0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2" t="s">
        <v>27</v>
      </c>
      <c r="B15" s="13"/>
      <c r="C15" s="14">
        <f>SUM(C16:C19)</f>
        <v>35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5" t="s">
        <v>28</v>
      </c>
      <c r="B16" s="7" t="s">
        <v>29</v>
      </c>
      <c r="C16" s="8">
        <v>10.0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5" t="s">
        <v>30</v>
      </c>
      <c r="B17" s="7" t="s">
        <v>31</v>
      </c>
      <c r="C17" s="8">
        <v>10.0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5" t="s">
        <v>32</v>
      </c>
      <c r="B18" s="7" t="s">
        <v>33</v>
      </c>
      <c r="C18" s="8">
        <v>7.0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7" t="s">
        <v>34</v>
      </c>
      <c r="B19" s="7" t="s">
        <v>35</v>
      </c>
      <c r="C19" s="8">
        <v>8.0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6" t="s">
        <v>36</v>
      </c>
      <c r="B20" s="17"/>
      <c r="C20" s="18">
        <f>SUM(C21:C25)</f>
        <v>276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7" t="s">
        <v>37</v>
      </c>
      <c r="B21" s="7" t="s">
        <v>38</v>
      </c>
      <c r="C21" s="8">
        <v>51.0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5" t="s">
        <v>39</v>
      </c>
      <c r="B22" s="7" t="s">
        <v>40</v>
      </c>
      <c r="C22" s="8">
        <v>60.0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9" t="s">
        <v>41</v>
      </c>
      <c r="B23" s="9" t="s">
        <v>42</v>
      </c>
      <c r="C23" s="8">
        <v>76.0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9" t="s">
        <v>43</v>
      </c>
      <c r="B24" s="7" t="s">
        <v>44</v>
      </c>
      <c r="C24" s="8">
        <v>35.0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9" t="s">
        <v>45</v>
      </c>
      <c r="B25" s="7" t="s">
        <v>46</v>
      </c>
      <c r="C25" s="8">
        <v>54.0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20" t="s">
        <v>47</v>
      </c>
      <c r="B26" s="20"/>
      <c r="C26" s="21">
        <f>SUM(C27:C29)</f>
        <v>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5" t="s">
        <v>48</v>
      </c>
      <c r="B27" s="22" t="s">
        <v>49</v>
      </c>
      <c r="C27" s="23">
        <v>12.0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5" t="s">
        <v>50</v>
      </c>
      <c r="B28" s="22" t="s">
        <v>51</v>
      </c>
      <c r="C28" s="23">
        <v>24.0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5" t="s">
        <v>52</v>
      </c>
      <c r="B29" s="22" t="s">
        <v>53</v>
      </c>
      <c r="C29" s="23">
        <v>14.0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15" t="s">
        <v>54</v>
      </c>
      <c r="B30" s="15" t="s">
        <v>55</v>
      </c>
      <c r="C30" s="22">
        <v>54.0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5" t="s">
        <v>56</v>
      </c>
      <c r="B31" s="24" t="s">
        <v>56</v>
      </c>
      <c r="C31" s="25">
        <f>SUM(C2,C8,C15,C20,C26,C30)</f>
        <v>477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14.0"/>
    <col customWidth="1" min="3" max="3" width="16.0"/>
    <col customWidth="1" min="4" max="4" width="13.25"/>
    <col customWidth="1" min="5" max="8" width="18.0"/>
    <col customWidth="1" min="9" max="9" width="15.38"/>
    <col customWidth="1" min="10" max="27" width="9.13"/>
  </cols>
  <sheetData>
    <row r="1" ht="24.0" customHeight="1">
      <c r="A1" s="26" t="s">
        <v>57</v>
      </c>
      <c r="B1" s="27"/>
      <c r="C1" s="28" t="s">
        <v>58</v>
      </c>
      <c r="D1" s="29"/>
      <c r="E1" s="29"/>
      <c r="F1" s="29"/>
      <c r="G1" s="29"/>
      <c r="H1" s="29"/>
      <c r="I1" s="2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15.0" customHeight="1">
      <c r="B2" s="27"/>
      <c r="C2" s="30" t="s">
        <v>59</v>
      </c>
      <c r="D2" s="29"/>
      <c r="E2" s="29">
        <v>4.0</v>
      </c>
      <c r="F2" s="29"/>
      <c r="G2" s="29"/>
      <c r="H2" s="29"/>
      <c r="I2" s="2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ht="15.0" customHeight="1">
      <c r="B3" s="27"/>
      <c r="C3" s="28" t="s">
        <v>60</v>
      </c>
      <c r="D3" s="29"/>
      <c r="E3" s="29">
        <v>4.0</v>
      </c>
      <c r="F3" s="29"/>
      <c r="G3" s="29"/>
      <c r="H3" s="29"/>
      <c r="I3" s="2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ht="15.0" customHeight="1">
      <c r="B4" s="27"/>
      <c r="C4" s="30" t="s">
        <v>59</v>
      </c>
      <c r="D4" s="29"/>
      <c r="E4" s="29"/>
      <c r="F4" s="29"/>
      <c r="G4" s="29"/>
      <c r="H4" s="29"/>
      <c r="I4" s="2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5.0" customHeight="1">
      <c r="A5" s="31" t="s">
        <v>61</v>
      </c>
      <c r="B5" s="31" t="s">
        <v>62</v>
      </c>
      <c r="C5" s="31" t="s">
        <v>63</v>
      </c>
      <c r="D5" s="29"/>
      <c r="E5" s="29"/>
      <c r="F5" s="29"/>
      <c r="G5" s="29"/>
      <c r="H5" s="29"/>
      <c r="I5" s="2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ht="15.0" customHeight="1">
      <c r="A6" s="32" t="s">
        <v>64</v>
      </c>
      <c r="B6" s="33">
        <f>SUM(B7:B10)</f>
        <v>34</v>
      </c>
      <c r="C6" s="34"/>
      <c r="D6" s="29"/>
      <c r="E6" s="29"/>
      <c r="F6" s="29"/>
      <c r="G6" s="29"/>
      <c r="H6" s="29"/>
      <c r="I6" s="2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ht="15.0" customHeight="1">
      <c r="A7" s="35" t="s">
        <v>65</v>
      </c>
      <c r="B7" s="36">
        <v>8.0</v>
      </c>
      <c r="C7" s="37"/>
      <c r="D7" s="29"/>
      <c r="E7" s="29"/>
      <c r="F7" s="29"/>
      <c r="G7" s="29"/>
      <c r="H7" s="29"/>
      <c r="I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ht="15.0" customHeight="1">
      <c r="A8" s="35" t="s">
        <v>66</v>
      </c>
      <c r="B8" s="36">
        <v>8.0</v>
      </c>
      <c r="C8" s="37"/>
      <c r="D8" s="29"/>
      <c r="E8" s="29"/>
      <c r="F8" s="38" t="s">
        <v>67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40"/>
      <c r="AO8" s="3"/>
      <c r="AP8" s="3"/>
    </row>
    <row r="9" ht="15.0" customHeight="1">
      <c r="A9" s="35" t="s">
        <v>68</v>
      </c>
      <c r="B9" s="36">
        <v>7.0</v>
      </c>
      <c r="C9" s="37"/>
      <c r="D9" s="29"/>
      <c r="E9" s="29"/>
      <c r="F9" s="41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3"/>
      <c r="AO9" s="3"/>
      <c r="AP9" s="3"/>
    </row>
    <row r="10" ht="15.0" customHeight="1">
      <c r="A10" s="35" t="s">
        <v>69</v>
      </c>
      <c r="B10" s="36">
        <v>11.0</v>
      </c>
      <c r="C10" s="37"/>
      <c r="D10" s="29"/>
      <c r="E10" s="29"/>
      <c r="F10" s="44" t="s">
        <v>70</v>
      </c>
      <c r="G10" s="45">
        <v>0.0</v>
      </c>
      <c r="H10" s="45">
        <v>1.0</v>
      </c>
      <c r="I10" s="45">
        <v>2.0</v>
      </c>
      <c r="J10" s="46">
        <v>3.0</v>
      </c>
      <c r="K10" s="46">
        <v>4.0</v>
      </c>
      <c r="L10" s="46">
        <v>5.0</v>
      </c>
      <c r="M10" s="46">
        <v>6.0</v>
      </c>
      <c r="N10" s="46">
        <v>7.0</v>
      </c>
      <c r="O10" s="46">
        <v>8.0</v>
      </c>
      <c r="P10" s="47">
        <v>9.0</v>
      </c>
      <c r="Q10" s="46">
        <v>10.0</v>
      </c>
      <c r="R10" s="46">
        <v>11.0</v>
      </c>
      <c r="S10" s="46">
        <v>12.0</v>
      </c>
      <c r="T10" s="46">
        <v>13.0</v>
      </c>
      <c r="U10" s="46">
        <v>14.0</v>
      </c>
      <c r="V10" s="46">
        <v>15.0</v>
      </c>
      <c r="W10" s="46">
        <v>16.0</v>
      </c>
      <c r="X10" s="46">
        <v>17.0</v>
      </c>
      <c r="Y10" s="46">
        <v>18.0</v>
      </c>
      <c r="Z10" s="46">
        <v>19.0</v>
      </c>
      <c r="AA10" s="46">
        <v>20.0</v>
      </c>
      <c r="AB10" s="46">
        <v>21.0</v>
      </c>
      <c r="AC10" s="47">
        <v>22.0</v>
      </c>
      <c r="AD10" s="46">
        <v>23.0</v>
      </c>
      <c r="AE10" s="46">
        <v>24.0</v>
      </c>
      <c r="AF10" s="46">
        <v>25.0</v>
      </c>
      <c r="AG10" s="46">
        <v>26.0</v>
      </c>
      <c r="AH10" s="46">
        <v>27.0</v>
      </c>
      <c r="AI10" s="46">
        <v>28.0</v>
      </c>
      <c r="AJ10" s="46">
        <v>29.0</v>
      </c>
      <c r="AK10" s="46">
        <v>30.0</v>
      </c>
      <c r="AL10" s="46">
        <v>31.0</v>
      </c>
      <c r="AM10" s="46">
        <v>32.0</v>
      </c>
      <c r="AN10" s="46">
        <v>33.0</v>
      </c>
      <c r="AO10" s="3"/>
      <c r="AP10" s="48">
        <v>45.0</v>
      </c>
    </row>
    <row r="11" ht="15.0" customHeight="1">
      <c r="A11" s="32" t="s">
        <v>71</v>
      </c>
      <c r="B11" s="33">
        <f>SUM(B12:B16)</f>
        <v>28</v>
      </c>
      <c r="C11" s="34"/>
      <c r="D11" s="29"/>
      <c r="E11" s="29"/>
      <c r="F11" s="44" t="s">
        <v>72</v>
      </c>
      <c r="G11" s="49"/>
      <c r="H11" s="49"/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"/>
      <c r="AP11" s="3"/>
    </row>
    <row r="12" ht="24.0" customHeight="1">
      <c r="A12" s="51" t="s">
        <v>73</v>
      </c>
      <c r="B12" s="36">
        <v>11.0</v>
      </c>
      <c r="C12" s="52"/>
      <c r="D12" s="53"/>
      <c r="E12" s="29"/>
      <c r="F12" s="44" t="s">
        <v>74</v>
      </c>
      <c r="G12" s="45"/>
      <c r="H12" s="45"/>
      <c r="I12" s="45"/>
      <c r="J12" s="46"/>
      <c r="K12" s="46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3"/>
      <c r="AP12" s="3"/>
    </row>
    <row r="13" ht="15.0" customHeight="1">
      <c r="A13" s="51" t="s">
        <v>75</v>
      </c>
      <c r="B13" s="36">
        <v>4.0</v>
      </c>
      <c r="C13" s="55"/>
      <c r="D13" s="29"/>
      <c r="E13" s="29"/>
      <c r="F13" s="44" t="s">
        <v>76</v>
      </c>
      <c r="G13" s="45"/>
      <c r="H13" s="45"/>
      <c r="I13" s="45"/>
      <c r="J13" s="46"/>
      <c r="K13" s="46"/>
      <c r="L13" s="46"/>
      <c r="M13" s="46"/>
      <c r="N13" s="46"/>
      <c r="O13" s="46"/>
      <c r="P13" s="46"/>
      <c r="Q13" s="56"/>
      <c r="R13" s="56"/>
      <c r="S13" s="46"/>
      <c r="T13" s="46"/>
      <c r="U13" s="46"/>
      <c r="V13" s="56"/>
      <c r="W13" s="56"/>
      <c r="X13" s="46"/>
      <c r="Y13" s="46"/>
      <c r="Z13" s="46"/>
      <c r="AA13" s="46"/>
      <c r="AB13" s="46"/>
      <c r="AC13" s="46"/>
      <c r="AD13" s="46"/>
      <c r="AE13" s="56"/>
      <c r="AF13" s="56"/>
      <c r="AG13" s="46"/>
      <c r="AH13" s="46"/>
      <c r="AI13" s="46"/>
      <c r="AJ13" s="46"/>
      <c r="AK13" s="56"/>
      <c r="AL13" s="56"/>
      <c r="AM13" s="46"/>
      <c r="AN13" s="46"/>
      <c r="AO13" s="3"/>
      <c r="AP13" s="3"/>
    </row>
    <row r="14" ht="15.0" customHeight="1">
      <c r="A14" s="51" t="s">
        <v>77</v>
      </c>
      <c r="B14" s="36">
        <v>5.0</v>
      </c>
      <c r="C14" s="55"/>
      <c r="D14" s="29"/>
      <c r="E14" s="29"/>
      <c r="F14" s="44" t="s">
        <v>78</v>
      </c>
      <c r="G14" s="45"/>
      <c r="H14" s="45"/>
      <c r="I14" s="45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"/>
      <c r="AP14" s="3"/>
    </row>
    <row r="15" ht="15.0" customHeight="1">
      <c r="A15" s="51" t="s">
        <v>79</v>
      </c>
      <c r="B15" s="36">
        <v>4.0</v>
      </c>
      <c r="C15" s="55"/>
      <c r="D15" s="29"/>
      <c r="E15" s="29"/>
      <c r="F15" s="44" t="s">
        <v>80</v>
      </c>
      <c r="G15" s="45"/>
      <c r="H15" s="45"/>
      <c r="I15" s="45"/>
      <c r="J15" s="57"/>
      <c r="K15" s="46"/>
      <c r="L15" s="46"/>
      <c r="M15" s="46"/>
      <c r="N15" s="46"/>
      <c r="O15" s="57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"/>
      <c r="AP15" s="3"/>
    </row>
    <row r="16" ht="15.0" customHeight="1">
      <c r="A16" s="51" t="s">
        <v>81</v>
      </c>
      <c r="B16" s="36">
        <v>4.0</v>
      </c>
      <c r="C16" s="55"/>
      <c r="D16" s="29"/>
      <c r="E16" s="29"/>
      <c r="F16" s="44" t="s">
        <v>82</v>
      </c>
      <c r="G16" s="45"/>
      <c r="H16" s="45"/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58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59"/>
      <c r="AP16" s="3"/>
    </row>
    <row r="17" ht="15.0" customHeight="1">
      <c r="A17" s="32" t="s">
        <v>83</v>
      </c>
      <c r="B17" s="33">
        <f>SUM(B18:B21)</f>
        <v>35</v>
      </c>
      <c r="C17" s="60"/>
      <c r="D17" s="29"/>
      <c r="E17" s="29"/>
      <c r="F17" s="44" t="s">
        <v>84</v>
      </c>
      <c r="G17" s="45"/>
      <c r="H17" s="45"/>
      <c r="I17" s="45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"/>
      <c r="AP17" s="61"/>
    </row>
    <row r="18" ht="15.0" customHeight="1">
      <c r="A18" s="62" t="s">
        <v>28</v>
      </c>
      <c r="B18" s="36">
        <v>10.0</v>
      </c>
      <c r="C18" s="55"/>
      <c r="D18" s="29"/>
      <c r="E18" s="29"/>
      <c r="F18" s="29"/>
      <c r="G18" s="29"/>
      <c r="H18" s="29"/>
      <c r="I18" s="2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ht="15.0" customHeight="1">
      <c r="A19" s="62" t="s">
        <v>30</v>
      </c>
      <c r="B19" s="36">
        <v>10.0</v>
      </c>
      <c r="C19" s="55"/>
      <c r="D19" s="29"/>
      <c r="E19" s="29"/>
      <c r="F19" s="29"/>
      <c r="G19" s="29"/>
      <c r="H19" s="29"/>
      <c r="I19" s="2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ht="15.0" customHeight="1">
      <c r="A20" s="62" t="s">
        <v>85</v>
      </c>
      <c r="B20" s="36">
        <v>7.0</v>
      </c>
      <c r="C20" s="55"/>
      <c r="D20" s="29"/>
      <c r="E20" s="29"/>
      <c r="F20" s="29"/>
      <c r="G20" s="29"/>
      <c r="H20" s="29"/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ht="15.0" customHeight="1">
      <c r="A21" s="62" t="s">
        <v>86</v>
      </c>
      <c r="B21" s="36">
        <v>8.0</v>
      </c>
      <c r="C21" s="55"/>
      <c r="D21" s="29"/>
      <c r="E21" s="29"/>
      <c r="F21" s="29"/>
      <c r="G21" s="29"/>
      <c r="H21" s="29"/>
      <c r="I21" s="2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ht="15.0" customHeight="1">
      <c r="A22" s="32" t="s">
        <v>87</v>
      </c>
      <c r="B22" s="33">
        <f>SUM(B23:B28)</f>
        <v>276</v>
      </c>
      <c r="C22" s="60"/>
      <c r="D22" s="29"/>
      <c r="E22" s="29"/>
      <c r="F22" s="29"/>
      <c r="G22" s="29"/>
      <c r="H22" s="29"/>
      <c r="I22" s="2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ht="15.0" customHeight="1">
      <c r="A23" s="55" t="s">
        <v>88</v>
      </c>
      <c r="B23" s="36">
        <v>51.0</v>
      </c>
      <c r="C23" s="55"/>
      <c r="D23" s="29"/>
      <c r="E23" s="29"/>
      <c r="F23" s="29"/>
      <c r="G23" s="29"/>
      <c r="H23" s="29"/>
      <c r="I23" s="2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ht="15.0" customHeight="1">
      <c r="A24" s="55" t="s">
        <v>89</v>
      </c>
      <c r="B24" s="36">
        <v>60.0</v>
      </c>
      <c r="C24" s="55"/>
      <c r="D24" s="29"/>
      <c r="E24" s="29"/>
      <c r="F24" s="29"/>
      <c r="G24" s="29"/>
      <c r="H24" s="29"/>
      <c r="I24" s="2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ht="15.0" customHeight="1">
      <c r="A25" s="55" t="s">
        <v>90</v>
      </c>
      <c r="B25" s="36">
        <v>76.0</v>
      </c>
      <c r="C25" s="55"/>
      <c r="D25" s="29"/>
      <c r="E25" s="29"/>
      <c r="F25" s="29"/>
      <c r="G25" s="29"/>
      <c r="H25" s="29"/>
      <c r="I25" s="2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ht="15.0" customHeight="1">
      <c r="A26" s="55" t="s">
        <v>91</v>
      </c>
      <c r="B26" s="36">
        <v>35.0</v>
      </c>
      <c r="C26" s="55"/>
      <c r="D26" s="29"/>
      <c r="E26" s="29"/>
      <c r="F26" s="29"/>
      <c r="G26" s="29"/>
      <c r="H26" s="29"/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ht="15.0" customHeight="1">
      <c r="A27" s="55" t="s">
        <v>92</v>
      </c>
      <c r="B27" s="36">
        <v>40.0</v>
      </c>
      <c r="C27" s="55"/>
      <c r="D27" s="29"/>
      <c r="E27" s="29"/>
      <c r="F27" s="29"/>
      <c r="G27" s="29"/>
      <c r="H27" s="29"/>
      <c r="I27" s="2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ht="15.0" customHeight="1">
      <c r="A28" s="55" t="s">
        <v>93</v>
      </c>
      <c r="B28" s="36">
        <v>14.0</v>
      </c>
      <c r="C28" s="36"/>
      <c r="D28" s="29"/>
      <c r="E28" s="29"/>
      <c r="F28" s="29"/>
      <c r="G28" s="29"/>
      <c r="H28" s="29"/>
      <c r="I28" s="2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ht="15.0" customHeight="1">
      <c r="A29" s="32" t="s">
        <v>94</v>
      </c>
      <c r="B29" s="33">
        <f>SUM(B30:B33)</f>
        <v>50</v>
      </c>
      <c r="C29" s="60"/>
      <c r="D29" s="29"/>
      <c r="E29" s="63" t="s">
        <v>95</v>
      </c>
      <c r="F29" s="63" t="s">
        <v>96</v>
      </c>
      <c r="G29" s="63" t="s">
        <v>62</v>
      </c>
      <c r="H29" s="63" t="s">
        <v>97</v>
      </c>
      <c r="I29" s="2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ht="15.0" customHeight="1">
      <c r="A30" s="64" t="s">
        <v>98</v>
      </c>
      <c r="B30" s="65">
        <v>12.0</v>
      </c>
      <c r="C30" s="64"/>
      <c r="D30" s="29"/>
      <c r="E30" s="63" t="s">
        <v>99</v>
      </c>
      <c r="F30" s="66">
        <v>45000.0</v>
      </c>
      <c r="G30" s="67">
        <v>180.0</v>
      </c>
      <c r="H30" s="66">
        <f t="shared" ref="H30:H33" si="1">F30*G30</f>
        <v>8100000</v>
      </c>
      <c r="I30" s="68">
        <f t="shared" ref="I30:I31" si="2">2*G30</f>
        <v>360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ht="15.0" customHeight="1">
      <c r="A31" s="64" t="s">
        <v>100</v>
      </c>
      <c r="B31" s="65">
        <v>16.0</v>
      </c>
      <c r="C31" s="64"/>
      <c r="D31" s="29"/>
      <c r="E31" s="63" t="s">
        <v>101</v>
      </c>
      <c r="F31" s="66">
        <v>40000.0</v>
      </c>
      <c r="G31" s="67">
        <v>180.0</v>
      </c>
      <c r="H31" s="66">
        <f t="shared" si="1"/>
        <v>7200000</v>
      </c>
      <c r="I31" s="68">
        <f t="shared" si="2"/>
        <v>360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ht="15.0" customHeight="1">
      <c r="A32" s="64" t="s">
        <v>102</v>
      </c>
      <c r="B32" s="65">
        <v>12.0</v>
      </c>
      <c r="C32" s="64"/>
      <c r="D32" s="29"/>
      <c r="E32" s="63" t="s">
        <v>103</v>
      </c>
      <c r="F32" s="66">
        <v>30000.0</v>
      </c>
      <c r="G32" s="67">
        <v>72.0</v>
      </c>
      <c r="H32" s="66">
        <f t="shared" si="1"/>
        <v>2160000</v>
      </c>
      <c r="I32" s="68">
        <f t="shared" ref="I32:I33" si="3">1*G32</f>
        <v>72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ht="15.0" customHeight="1">
      <c r="A33" s="64" t="s">
        <v>104</v>
      </c>
      <c r="B33" s="65">
        <v>10.0</v>
      </c>
      <c r="C33" s="64"/>
      <c r="D33" s="29"/>
      <c r="E33" s="63" t="s">
        <v>105</v>
      </c>
      <c r="F33" s="66">
        <v>50000.0</v>
      </c>
      <c r="G33" s="67">
        <v>45.0</v>
      </c>
      <c r="H33" s="66">
        <f t="shared" si="1"/>
        <v>2250000</v>
      </c>
      <c r="I33" s="68">
        <f t="shared" si="3"/>
        <v>45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ht="15.0" customHeight="1">
      <c r="A34" s="32" t="s">
        <v>106</v>
      </c>
      <c r="B34" s="33">
        <f>B35</f>
        <v>25</v>
      </c>
      <c r="C34" s="60"/>
      <c r="D34" s="29"/>
      <c r="E34" s="63" t="s">
        <v>56</v>
      </c>
      <c r="F34" s="66"/>
      <c r="G34" s="67"/>
      <c r="H34" s="66">
        <f>SUM(H30:H33)</f>
        <v>19710000</v>
      </c>
      <c r="I34" s="68">
        <f>0.5*G34</f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ht="15.0" customHeight="1">
      <c r="A35" s="64" t="s">
        <v>107</v>
      </c>
      <c r="B35" s="65">
        <v>25.0</v>
      </c>
      <c r="C35" s="64"/>
      <c r="D35" s="29"/>
      <c r="E35" s="29"/>
      <c r="F35" s="29"/>
      <c r="G35" s="29"/>
      <c r="H35" s="29"/>
      <c r="I35" s="68">
        <f>SUM(I30:I34)</f>
        <v>837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ht="15.0" customHeight="1">
      <c r="A36" s="32" t="s">
        <v>108</v>
      </c>
      <c r="B36" s="33">
        <f>SUM(B37:B40)</f>
        <v>11</v>
      </c>
      <c r="C36" s="60"/>
      <c r="D36" s="29"/>
      <c r="E36" s="29"/>
      <c r="F36" s="29"/>
      <c r="G36" s="29"/>
      <c r="H36" s="29"/>
      <c r="I36" s="2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ht="15.0" customHeight="1">
      <c r="A37" s="64" t="s">
        <v>109</v>
      </c>
      <c r="B37" s="65">
        <v>4.0</v>
      </c>
      <c r="C37" s="64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ht="15.0" customHeight="1">
      <c r="A38" s="64" t="s">
        <v>110</v>
      </c>
      <c r="B38" s="65">
        <v>3.0</v>
      </c>
      <c r="C38" s="64"/>
      <c r="D38" s="29"/>
      <c r="E38" s="29"/>
      <c r="F38" s="29"/>
      <c r="G38" s="29"/>
      <c r="H38" s="29"/>
      <c r="I38" s="2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ht="15.0" customHeight="1">
      <c r="A39" s="64" t="s">
        <v>111</v>
      </c>
      <c r="B39" s="65">
        <v>2.0</v>
      </c>
      <c r="C39" s="64"/>
      <c r="D39" s="29"/>
      <c r="E39" s="29"/>
      <c r="F39" s="29"/>
      <c r="G39" s="29"/>
      <c r="H39" s="29"/>
      <c r="I39" s="2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ht="15.0" customHeight="1">
      <c r="A40" s="64" t="s">
        <v>112</v>
      </c>
      <c r="B40" s="65">
        <v>2.0</v>
      </c>
      <c r="C40" s="64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ht="15.0" customHeight="1">
      <c r="A41" s="32" t="s">
        <v>113</v>
      </c>
      <c r="B41" s="33">
        <f>B42</f>
        <v>18</v>
      </c>
      <c r="C41" s="60"/>
      <c r="D41" s="29"/>
      <c r="E41" s="29"/>
      <c r="F41" s="29"/>
      <c r="G41" s="29"/>
      <c r="H41" s="29"/>
      <c r="I41" s="2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ht="15.0" customHeight="1">
      <c r="A42" s="64" t="s">
        <v>114</v>
      </c>
      <c r="B42" s="65">
        <v>18.0</v>
      </c>
      <c r="C42" s="64"/>
      <c r="D42" s="29"/>
      <c r="E42" s="29"/>
      <c r="F42" s="29"/>
      <c r="G42" s="29"/>
      <c r="H42" s="29"/>
      <c r="I42" s="2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ht="15.0" customHeight="1">
      <c r="A43" s="32" t="s">
        <v>115</v>
      </c>
      <c r="B43" s="33">
        <f>B44</f>
        <v>0</v>
      </c>
      <c r="C43" s="64"/>
      <c r="D43" s="29"/>
      <c r="E43" s="29"/>
      <c r="F43" s="29"/>
      <c r="G43" s="29"/>
      <c r="H43" s="29"/>
      <c r="I43" s="2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ht="15.0" customHeight="1">
      <c r="A44" s="64" t="s">
        <v>116</v>
      </c>
      <c r="B44" s="65">
        <v>0.0</v>
      </c>
      <c r="C44" s="64"/>
      <c r="D44" s="69"/>
      <c r="E44" s="69"/>
      <c r="F44" s="29"/>
      <c r="G44" s="29"/>
      <c r="H44" s="29"/>
      <c r="I44" s="2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ht="15.0" customHeight="1">
      <c r="A45" s="70" t="s">
        <v>56</v>
      </c>
      <c r="B45" s="71">
        <f>SUM(B6,B11,B17,B22,B29,B34,B36,B41,B43)</f>
        <v>477</v>
      </c>
      <c r="C45" s="70"/>
      <c r="D45" s="29"/>
      <c r="E45" s="29"/>
      <c r="F45" s="29"/>
      <c r="G45" s="29"/>
      <c r="H45" s="29"/>
      <c r="I45" s="2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ht="15.0" customHeight="1">
      <c r="A46" s="72"/>
      <c r="B46" s="73"/>
      <c r="C46" s="72"/>
      <c r="D46" s="29"/>
      <c r="E46" s="29"/>
      <c r="F46" s="29"/>
      <c r="G46" s="29"/>
      <c r="H46" s="29"/>
      <c r="I46" s="2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ht="15.0" customHeight="1">
      <c r="A47" s="72"/>
      <c r="B47" s="73"/>
      <c r="C47" s="29"/>
      <c r="D47" s="29"/>
      <c r="E47" s="29"/>
      <c r="F47" s="29"/>
      <c r="G47" s="29"/>
      <c r="H47" s="29"/>
      <c r="I47" s="2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ht="15.0" customHeight="1">
      <c r="A48" s="74" t="s">
        <v>117</v>
      </c>
      <c r="B48" s="74" t="s">
        <v>118</v>
      </c>
      <c r="C48" s="74" t="s">
        <v>119</v>
      </c>
      <c r="D48" s="29"/>
      <c r="E48" s="75" t="s">
        <v>120</v>
      </c>
      <c r="F48" s="76"/>
      <c r="G48" s="77"/>
      <c r="H48" s="53"/>
      <c r="I48" s="2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ht="15.0" customHeight="1">
      <c r="A49" s="78" t="s">
        <v>121</v>
      </c>
      <c r="B49" s="79">
        <f>B36</f>
        <v>11</v>
      </c>
      <c r="C49" s="80">
        <f t="shared" ref="C49:C57" si="4">IFERROR(B49/$B$58,0)</f>
        <v>0.02306079665</v>
      </c>
      <c r="D49" s="29"/>
      <c r="E49" s="81">
        <v>8.0</v>
      </c>
      <c r="F49" s="82">
        <f t="shared" ref="F49:F50" si="5">ROUND(B49/E49,1)</f>
        <v>1.4</v>
      </c>
      <c r="G49" s="82">
        <f t="shared" ref="G49:G50" si="6">ROUND(F49/5,1)</f>
        <v>0.3</v>
      </c>
      <c r="H49" s="83"/>
      <c r="I49" s="2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ht="16.5" customHeight="1">
      <c r="A50" s="78" t="s">
        <v>3</v>
      </c>
      <c r="B50" s="79">
        <f>B6</f>
        <v>34</v>
      </c>
      <c r="C50" s="84">
        <f t="shared" si="4"/>
        <v>0.071278826</v>
      </c>
      <c r="D50" s="29"/>
      <c r="E50" s="85">
        <v>8.0</v>
      </c>
      <c r="F50" s="86">
        <f t="shared" si="5"/>
        <v>4.3</v>
      </c>
      <c r="G50" s="86">
        <f t="shared" si="6"/>
        <v>0.9</v>
      </c>
      <c r="H50" s="87"/>
      <c r="I50" s="2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ht="15.0" customHeight="1">
      <c r="A51" s="78" t="s">
        <v>14</v>
      </c>
      <c r="B51" s="79">
        <f>B11</f>
        <v>28</v>
      </c>
      <c r="C51" s="84">
        <f t="shared" si="4"/>
        <v>0.05870020964</v>
      </c>
      <c r="D51" s="29"/>
      <c r="E51" s="88"/>
      <c r="F51" s="88"/>
      <c r="G51" s="88"/>
      <c r="H51" s="53"/>
      <c r="I51" s="2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ht="15.0" customHeight="1">
      <c r="A52" s="78" t="s">
        <v>122</v>
      </c>
      <c r="B52" s="79">
        <f>B17</f>
        <v>35</v>
      </c>
      <c r="C52" s="84">
        <f t="shared" si="4"/>
        <v>0.07337526205</v>
      </c>
      <c r="D52" s="29"/>
      <c r="E52" s="29">
        <v>8.0</v>
      </c>
      <c r="F52" s="29">
        <f t="shared" ref="F52:F58" si="7">ROUND(B52/E52,1)</f>
        <v>4.4</v>
      </c>
      <c r="G52" s="29">
        <f t="shared" ref="G52:G58" si="8">ROUND(F52/5,1)</f>
        <v>0.9</v>
      </c>
      <c r="H52" s="29"/>
      <c r="I52" s="2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ht="15.0" customHeight="1">
      <c r="A53" s="78" t="s">
        <v>123</v>
      </c>
      <c r="B53" s="79">
        <f>B22</f>
        <v>276</v>
      </c>
      <c r="C53" s="84">
        <f t="shared" si="4"/>
        <v>0.5786163522</v>
      </c>
      <c r="D53" s="29"/>
      <c r="E53" s="29">
        <v>8.0</v>
      </c>
      <c r="F53" s="29">
        <f t="shared" si="7"/>
        <v>34.5</v>
      </c>
      <c r="G53" s="29">
        <f t="shared" si="8"/>
        <v>6.9</v>
      </c>
      <c r="H53" s="29"/>
      <c r="I53" s="2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ht="15.0" customHeight="1">
      <c r="A54" s="78" t="s">
        <v>124</v>
      </c>
      <c r="B54" s="79">
        <f>B29</f>
        <v>50</v>
      </c>
      <c r="C54" s="80">
        <f t="shared" si="4"/>
        <v>0.1048218029</v>
      </c>
      <c r="D54" s="29"/>
      <c r="E54" s="29">
        <v>8.0</v>
      </c>
      <c r="F54" s="29">
        <f t="shared" si="7"/>
        <v>6.3</v>
      </c>
      <c r="G54" s="29">
        <f t="shared" si="8"/>
        <v>1.3</v>
      </c>
      <c r="H54" s="29"/>
      <c r="I54" s="2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ht="15.0" customHeight="1">
      <c r="A55" s="78" t="s">
        <v>125</v>
      </c>
      <c r="B55" s="79">
        <f>B34</f>
        <v>25</v>
      </c>
      <c r="C55" s="89">
        <f t="shared" si="4"/>
        <v>0.05241090147</v>
      </c>
      <c r="D55" s="29"/>
      <c r="E55" s="29">
        <v>8.0</v>
      </c>
      <c r="F55" s="29">
        <f t="shared" si="7"/>
        <v>3.1</v>
      </c>
      <c r="G55" s="29">
        <f t="shared" si="8"/>
        <v>0.6</v>
      </c>
      <c r="H55" s="29"/>
      <c r="I55" s="2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ht="26.25" customHeight="1">
      <c r="A56" s="78" t="s">
        <v>126</v>
      </c>
      <c r="B56" s="79">
        <f>B41</f>
        <v>18</v>
      </c>
      <c r="C56" s="89">
        <f t="shared" si="4"/>
        <v>0.03773584906</v>
      </c>
      <c r="D56" s="29"/>
      <c r="E56" s="29">
        <v>8.0</v>
      </c>
      <c r="F56" s="29">
        <f t="shared" si="7"/>
        <v>2.3</v>
      </c>
      <c r="G56" s="29">
        <f t="shared" si="8"/>
        <v>0.5</v>
      </c>
      <c r="H56" s="29"/>
      <c r="I56" s="2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ht="15.0" customHeight="1">
      <c r="A57" s="78" t="s">
        <v>127</v>
      </c>
      <c r="B57" s="79">
        <f>B43</f>
        <v>0</v>
      </c>
      <c r="C57" s="84">
        <f t="shared" si="4"/>
        <v>0</v>
      </c>
      <c r="D57" s="29"/>
      <c r="E57" s="29">
        <v>8.0</v>
      </c>
      <c r="F57" s="29">
        <f t="shared" si="7"/>
        <v>0</v>
      </c>
      <c r="G57" s="29">
        <f t="shared" si="8"/>
        <v>0</v>
      </c>
      <c r="H57" s="29"/>
      <c r="I57" s="2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ht="15.0" customHeight="1">
      <c r="A58" s="90" t="s">
        <v>128</v>
      </c>
      <c r="B58" s="91">
        <f t="shared" ref="B58:C58" si="9">SUM(B49:B57)</f>
        <v>477</v>
      </c>
      <c r="C58" s="92">
        <f t="shared" si="9"/>
        <v>1</v>
      </c>
      <c r="D58" s="78"/>
      <c r="E58" s="68">
        <v>8.0</v>
      </c>
      <c r="F58" s="68">
        <f t="shared" si="7"/>
        <v>59.6</v>
      </c>
      <c r="G58" s="68">
        <f t="shared" si="8"/>
        <v>11.9</v>
      </c>
      <c r="H58" s="29"/>
      <c r="I58" s="2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ht="15.0" customHeight="1">
      <c r="A59" s="90"/>
      <c r="B59" s="91"/>
      <c r="C59" s="93"/>
      <c r="D59" s="78"/>
      <c r="E59" s="78"/>
      <c r="F59" s="68">
        <f>E58+F58</f>
        <v>67.6</v>
      </c>
      <c r="G59" s="68">
        <f>40050000+G58</f>
        <v>40050011.9</v>
      </c>
      <c r="H59" s="29"/>
      <c r="I59" s="2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ht="15.0" customHeight="1">
      <c r="A60" s="53"/>
      <c r="B60" s="94"/>
      <c r="C60" s="29"/>
      <c r="D60" s="29"/>
      <c r="E60" s="29"/>
      <c r="F60" s="29"/>
      <c r="G60" s="95">
        <v>5.7E7</v>
      </c>
      <c r="H60" s="29"/>
      <c r="I60" s="2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ht="15.0" customHeight="1">
      <c r="A61" s="53"/>
      <c r="B61" s="94"/>
      <c r="C61" s="29"/>
      <c r="D61" s="29"/>
      <c r="E61" s="29"/>
      <c r="F61" s="29"/>
      <c r="G61" s="29"/>
      <c r="H61" s="29"/>
      <c r="I61" s="2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ht="15.0" customHeight="1">
      <c r="A62" s="53"/>
      <c r="B62" s="94"/>
      <c r="C62" s="29"/>
      <c r="D62" s="29"/>
      <c r="E62" s="29"/>
      <c r="F62" s="29"/>
      <c r="G62" s="29"/>
      <c r="H62" s="29"/>
      <c r="I62" s="2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ht="15.0" customHeight="1">
      <c r="A63" s="53"/>
      <c r="B63" s="94"/>
      <c r="C63" s="29"/>
      <c r="D63" s="29"/>
      <c r="E63" s="29"/>
      <c r="F63" s="29"/>
      <c r="G63" s="29"/>
      <c r="H63" s="29"/>
      <c r="I63" s="2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ht="15.0" customHeight="1">
      <c r="A64" s="53"/>
      <c r="B64" s="94"/>
      <c r="C64" s="29"/>
      <c r="D64" s="29"/>
      <c r="E64" s="29"/>
      <c r="F64" s="29"/>
      <c r="G64" s="29"/>
      <c r="H64" s="29"/>
      <c r="I64" s="2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ht="15.0" customHeight="1">
      <c r="A65" s="53"/>
      <c r="B65" s="94"/>
      <c r="C65" s="29"/>
      <c r="D65" s="29"/>
      <c r="E65" s="29"/>
      <c r="F65" s="29"/>
      <c r="G65" s="29"/>
      <c r="H65" s="29"/>
      <c r="I65" s="2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ht="15.0" customHeight="1">
      <c r="A66" s="53"/>
      <c r="B66" s="94"/>
      <c r="C66" s="29"/>
      <c r="D66" s="29"/>
      <c r="E66" s="29"/>
      <c r="F66" s="29"/>
      <c r="G66" s="29"/>
      <c r="H66" s="29"/>
      <c r="I66" s="2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ht="15.0" customHeight="1">
      <c r="A67" s="53"/>
      <c r="B67" s="94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5.0" customHeight="1">
      <c r="A68" s="53"/>
      <c r="B68" s="94"/>
      <c r="C68" s="29"/>
      <c r="D68" s="29"/>
      <c r="E68" s="29"/>
      <c r="F68" s="29"/>
      <c r="G68" s="29"/>
      <c r="H68" s="29"/>
      <c r="I68" s="2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ht="15.0" customHeight="1">
      <c r="A69" s="53"/>
      <c r="B69" s="94"/>
      <c r="C69" s="75" t="s">
        <v>129</v>
      </c>
      <c r="D69" s="76"/>
      <c r="E69" s="77"/>
      <c r="F69" s="29"/>
      <c r="G69" s="29"/>
      <c r="H69" s="29"/>
      <c r="I69" s="2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ht="15.0" customHeight="1">
      <c r="A70" s="53"/>
      <c r="B70" s="94"/>
      <c r="C70" s="81" t="s">
        <v>120</v>
      </c>
      <c r="D70" s="82" t="s">
        <v>130</v>
      </c>
      <c r="E70" s="82" t="s">
        <v>131</v>
      </c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ht="15.0" customHeight="1">
      <c r="A71" s="53"/>
      <c r="B71" s="94"/>
      <c r="C71" s="85">
        <v>8.0</v>
      </c>
      <c r="D71" s="86">
        <v>60.0</v>
      </c>
      <c r="E71" s="96" t="s">
        <v>132</v>
      </c>
      <c r="F71" s="29"/>
      <c r="G71" s="29"/>
      <c r="H71" s="29"/>
      <c r="I71" s="2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ht="12.75" customHeight="1">
      <c r="A72" s="53"/>
      <c r="B72" s="97"/>
      <c r="C72" s="88"/>
      <c r="D72" s="88"/>
      <c r="E72" s="8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2.75" customHeight="1">
      <c r="A73" s="53"/>
      <c r="B73" s="97"/>
      <c r="C73" s="5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ht="12.75" customHeight="1">
      <c r="A74" s="53"/>
      <c r="B74" s="97"/>
      <c r="C74" s="5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ht="12.75" customHeight="1">
      <c r="A75" s="53"/>
      <c r="B75" s="97"/>
      <c r="C75" s="5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ht="12.75" customHeight="1">
      <c r="A76" s="53"/>
      <c r="B76" s="97"/>
      <c r="C76" s="5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ht="12.75" customHeight="1">
      <c r="A77" s="53"/>
      <c r="B77" s="97"/>
      <c r="C77" s="5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ht="12.75" customHeight="1">
      <c r="A78" s="53"/>
      <c r="B78" s="97"/>
      <c r="C78" s="5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ht="12.75" customHeight="1">
      <c r="A79" s="53"/>
      <c r="B79" s="97"/>
      <c r="C79" s="5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ht="12.75" customHeight="1">
      <c r="A80" s="53"/>
      <c r="B80" s="97"/>
      <c r="C80" s="5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ht="12.75" customHeight="1">
      <c r="A81" s="53"/>
      <c r="B81" s="97"/>
      <c r="C81" s="5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ht="12.75" customHeight="1">
      <c r="A82" s="53"/>
      <c r="B82" s="97"/>
      <c r="C82" s="5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ht="12.75" customHeight="1">
      <c r="A83" s="53"/>
      <c r="B83" s="97"/>
      <c r="C83" s="5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ht="12.75" customHeight="1">
      <c r="A84" s="53"/>
      <c r="B84" s="97"/>
      <c r="C84" s="5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ht="12.75" customHeight="1">
      <c r="A85" s="53"/>
      <c r="B85" s="97"/>
      <c r="C85" s="5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ht="12.75" customHeight="1">
      <c r="A86" s="53"/>
      <c r="B86" s="97"/>
      <c r="C86" s="5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ht="12.75" customHeight="1">
      <c r="A87" s="53"/>
      <c r="B87" s="97"/>
      <c r="C87" s="5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ht="12.75" customHeight="1">
      <c r="A88" s="53"/>
      <c r="B88" s="97"/>
      <c r="C88" s="5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ht="12.75" customHeight="1">
      <c r="A89" s="53"/>
      <c r="B89" s="97"/>
      <c r="C89" s="5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ht="12.75" customHeight="1">
      <c r="A90" s="53"/>
      <c r="B90" s="97"/>
      <c r="C90" s="5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ht="12.75" customHeight="1">
      <c r="A91" s="53"/>
      <c r="B91" s="97"/>
      <c r="C91" s="5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2.75" customHeight="1">
      <c r="A92" s="53"/>
      <c r="B92" s="97"/>
      <c r="C92" s="5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2.75" customHeight="1">
      <c r="A93" s="53"/>
      <c r="B93" s="97"/>
      <c r="C93" s="5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2.75" customHeight="1">
      <c r="A94" s="53"/>
      <c r="B94" s="97"/>
      <c r="C94" s="5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2.75" customHeight="1">
      <c r="A95" s="53"/>
      <c r="B95" s="97"/>
      <c r="C95" s="5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2.75" customHeight="1">
      <c r="A96" s="53"/>
      <c r="B96" s="97"/>
      <c r="C96" s="5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2.75" customHeight="1">
      <c r="A97" s="53"/>
      <c r="B97" s="97"/>
      <c r="C97" s="5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2.75" customHeight="1">
      <c r="A98" s="53"/>
      <c r="B98" s="97"/>
      <c r="C98" s="5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2.75" customHeight="1">
      <c r="A99" s="53"/>
      <c r="B99" s="97"/>
      <c r="C99" s="5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2.75" customHeight="1">
      <c r="A100" s="53"/>
      <c r="B100" s="97"/>
      <c r="C100" s="5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2.75" customHeight="1">
      <c r="A101" s="53"/>
      <c r="B101" s="97"/>
      <c r="C101" s="5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2.75" customHeight="1">
      <c r="A102" s="53"/>
      <c r="B102" s="97"/>
      <c r="C102" s="5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2.75" customHeight="1">
      <c r="A103" s="53"/>
      <c r="B103" s="97"/>
      <c r="C103" s="5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2.75" customHeight="1">
      <c r="A104" s="53"/>
      <c r="B104" s="97"/>
      <c r="C104" s="5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2.75" customHeight="1">
      <c r="A105" s="53"/>
      <c r="B105" s="97"/>
      <c r="C105" s="5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2.75" customHeight="1">
      <c r="A106" s="53"/>
      <c r="B106" s="97"/>
      <c r="C106" s="5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2.75" customHeight="1">
      <c r="A107" s="53"/>
      <c r="B107" s="97"/>
      <c r="C107" s="5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2.75" customHeight="1">
      <c r="A108" s="53"/>
      <c r="B108" s="97"/>
      <c r="C108" s="5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2.75" customHeight="1">
      <c r="A109" s="53"/>
      <c r="B109" s="97"/>
      <c r="C109" s="5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2.75" customHeight="1">
      <c r="A110" s="53"/>
      <c r="B110" s="97"/>
      <c r="C110" s="5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2.75" customHeight="1">
      <c r="A111" s="53"/>
      <c r="B111" s="97"/>
      <c r="C111" s="5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2.75" customHeight="1">
      <c r="A112" s="53"/>
      <c r="B112" s="97"/>
      <c r="C112" s="5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2.75" customHeight="1">
      <c r="A113" s="53"/>
      <c r="B113" s="97"/>
      <c r="C113" s="5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2.75" customHeight="1">
      <c r="A114" s="53"/>
      <c r="B114" s="97"/>
      <c r="C114" s="5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2.75" customHeight="1">
      <c r="A115" s="53"/>
      <c r="B115" s="97"/>
      <c r="C115" s="5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2.75" customHeight="1">
      <c r="A116" s="53"/>
      <c r="B116" s="97"/>
      <c r="C116" s="5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2.75" customHeight="1">
      <c r="A117" s="53"/>
      <c r="B117" s="97"/>
      <c r="C117" s="5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2.75" customHeight="1">
      <c r="A118" s="53"/>
      <c r="B118" s="97"/>
      <c r="C118" s="5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2.75" customHeight="1">
      <c r="A119" s="53"/>
      <c r="B119" s="97"/>
      <c r="C119" s="5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2.75" customHeight="1">
      <c r="A120" s="53"/>
      <c r="B120" s="97"/>
      <c r="C120" s="5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2.75" customHeight="1">
      <c r="A121" s="53"/>
      <c r="B121" s="97"/>
      <c r="C121" s="5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2.75" customHeight="1">
      <c r="A122" s="53"/>
      <c r="B122" s="97"/>
      <c r="C122" s="5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2.75" customHeight="1">
      <c r="A123" s="53"/>
      <c r="B123" s="97"/>
      <c r="C123" s="5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2.75" customHeight="1">
      <c r="A124" s="53"/>
      <c r="B124" s="97"/>
      <c r="C124" s="5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ht="12.75" customHeight="1">
      <c r="A125" s="53"/>
      <c r="B125" s="97"/>
      <c r="C125" s="5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ht="12.75" customHeight="1">
      <c r="A126" s="53"/>
      <c r="B126" s="97"/>
      <c r="C126" s="5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ht="12.75" customHeight="1">
      <c r="A127" s="53"/>
      <c r="B127" s="97"/>
      <c r="C127" s="5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ht="12.75" customHeight="1">
      <c r="A128" s="53"/>
      <c r="B128" s="97"/>
      <c r="C128" s="5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ht="12.75" customHeight="1">
      <c r="A129" s="53"/>
      <c r="B129" s="97"/>
      <c r="C129" s="5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ht="12.75" customHeight="1">
      <c r="A130" s="53"/>
      <c r="B130" s="97"/>
      <c r="C130" s="5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ht="12.75" customHeight="1">
      <c r="A131" s="53"/>
      <c r="B131" s="97"/>
      <c r="C131" s="5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ht="12.75" customHeight="1">
      <c r="A132" s="53"/>
      <c r="B132" s="97"/>
      <c r="C132" s="5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ht="12.75" customHeight="1">
      <c r="A133" s="53"/>
      <c r="B133" s="97"/>
      <c r="C133" s="5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ht="12.75" customHeight="1">
      <c r="A134" s="53"/>
      <c r="B134" s="97"/>
      <c r="C134" s="5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ht="12.75" customHeight="1">
      <c r="A135" s="53"/>
      <c r="B135" s="97"/>
      <c r="C135" s="5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ht="12.75" customHeight="1">
      <c r="A136" s="53"/>
      <c r="B136" s="97"/>
      <c r="C136" s="5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ht="12.75" customHeight="1">
      <c r="A137" s="53"/>
      <c r="B137" s="97"/>
      <c r="C137" s="5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ht="12.75" customHeight="1">
      <c r="A138" s="53"/>
      <c r="B138" s="97"/>
      <c r="C138" s="5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ht="12.75" customHeight="1">
      <c r="A139" s="53"/>
      <c r="B139" s="97"/>
      <c r="C139" s="5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ht="12.75" customHeight="1">
      <c r="A140" s="53"/>
      <c r="B140" s="97"/>
      <c r="C140" s="5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ht="12.75" customHeight="1">
      <c r="A141" s="53"/>
      <c r="B141" s="97"/>
      <c r="C141" s="5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ht="12.75" customHeight="1">
      <c r="A142" s="53"/>
      <c r="B142" s="97"/>
      <c r="C142" s="5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ht="12.75" customHeight="1">
      <c r="A143" s="53"/>
      <c r="B143" s="97"/>
      <c r="C143" s="5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ht="12.75" customHeight="1">
      <c r="A144" s="53"/>
      <c r="B144" s="97"/>
      <c r="C144" s="5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ht="12.75" customHeight="1">
      <c r="A145" s="53"/>
      <c r="B145" s="97"/>
      <c r="C145" s="5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ht="12.75" customHeight="1">
      <c r="A146" s="53"/>
      <c r="B146" s="97"/>
      <c r="C146" s="5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ht="12.75" customHeight="1">
      <c r="A147" s="53"/>
      <c r="B147" s="97"/>
      <c r="C147" s="5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ht="12.75" customHeight="1">
      <c r="A148" s="53"/>
      <c r="B148" s="97"/>
      <c r="C148" s="5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ht="12.75" customHeight="1">
      <c r="A149" s="53"/>
      <c r="B149" s="97"/>
      <c r="C149" s="5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ht="12.75" customHeight="1">
      <c r="A150" s="53"/>
      <c r="B150" s="97"/>
      <c r="C150" s="5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ht="12.75" customHeight="1">
      <c r="A151" s="53"/>
      <c r="B151" s="97"/>
      <c r="C151" s="5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ht="12.75" customHeight="1">
      <c r="A152" s="53"/>
      <c r="B152" s="97"/>
      <c r="C152" s="5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ht="12.75" customHeight="1">
      <c r="A153" s="53"/>
      <c r="B153" s="97"/>
      <c r="C153" s="5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ht="12.75" customHeight="1">
      <c r="A154" s="53"/>
      <c r="B154" s="97"/>
      <c r="C154" s="5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ht="12.75" customHeight="1">
      <c r="A155" s="53"/>
      <c r="B155" s="97"/>
      <c r="C155" s="5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ht="12.75" customHeight="1">
      <c r="A156" s="53"/>
      <c r="B156" s="97"/>
      <c r="C156" s="5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ht="12.75" customHeight="1">
      <c r="A157" s="53"/>
      <c r="B157" s="97"/>
      <c r="C157" s="5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ht="12.75" customHeight="1">
      <c r="A158" s="53"/>
      <c r="B158" s="97"/>
      <c r="C158" s="5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ht="12.75" customHeight="1">
      <c r="A159" s="53"/>
      <c r="B159" s="97"/>
      <c r="C159" s="5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ht="12.75" customHeight="1">
      <c r="A160" s="53"/>
      <c r="B160" s="97"/>
      <c r="C160" s="5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ht="12.75" customHeight="1">
      <c r="A161" s="53"/>
      <c r="B161" s="97"/>
      <c r="C161" s="5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ht="12.75" customHeight="1">
      <c r="A162" s="53"/>
      <c r="B162" s="97"/>
      <c r="C162" s="5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ht="12.75" customHeight="1">
      <c r="A163" s="53"/>
      <c r="B163" s="97"/>
      <c r="C163" s="5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ht="12.75" customHeight="1">
      <c r="A164" s="53"/>
      <c r="B164" s="97"/>
      <c r="C164" s="5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ht="12.75" customHeight="1">
      <c r="A165" s="53"/>
      <c r="B165" s="97"/>
      <c r="C165" s="5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ht="12.75" customHeight="1">
      <c r="A166" s="53"/>
      <c r="B166" s="97"/>
      <c r="C166" s="5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ht="12.75" customHeight="1">
      <c r="A167" s="53"/>
      <c r="B167" s="97"/>
      <c r="C167" s="5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ht="12.75" customHeight="1">
      <c r="A168" s="53"/>
      <c r="B168" s="97"/>
      <c r="C168" s="5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ht="12.75" customHeight="1">
      <c r="A169" s="53"/>
      <c r="B169" s="97"/>
      <c r="C169" s="5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ht="12.75" customHeight="1">
      <c r="A170" s="53"/>
      <c r="B170" s="97"/>
      <c r="C170" s="5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ht="12.75" customHeight="1">
      <c r="A171" s="53"/>
      <c r="B171" s="97"/>
      <c r="C171" s="5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ht="12.75" customHeight="1">
      <c r="A172" s="53"/>
      <c r="B172" s="97"/>
      <c r="C172" s="5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ht="12.75" customHeight="1">
      <c r="A173" s="53"/>
      <c r="B173" s="97"/>
      <c r="C173" s="5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ht="12.75" customHeight="1">
      <c r="A174" s="53"/>
      <c r="B174" s="97"/>
      <c r="C174" s="5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ht="12.75" customHeight="1">
      <c r="A175" s="53"/>
      <c r="B175" s="97"/>
      <c r="C175" s="5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ht="12.75" customHeight="1">
      <c r="A176" s="53"/>
      <c r="B176" s="97"/>
      <c r="C176" s="5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ht="12.75" customHeight="1">
      <c r="A177" s="53"/>
      <c r="B177" s="97"/>
      <c r="C177" s="5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ht="12.75" customHeight="1">
      <c r="A178" s="53"/>
      <c r="B178" s="97"/>
      <c r="C178" s="5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ht="12.75" customHeight="1">
      <c r="A179" s="53"/>
      <c r="B179" s="97"/>
      <c r="C179" s="5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ht="12.75" customHeight="1">
      <c r="A180" s="53"/>
      <c r="B180" s="97"/>
      <c r="C180" s="5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ht="12.75" customHeight="1">
      <c r="A181" s="53"/>
      <c r="B181" s="97"/>
      <c r="C181" s="5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ht="12.75" customHeight="1">
      <c r="A182" s="53"/>
      <c r="B182" s="97"/>
      <c r="C182" s="5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ht="12.75" customHeight="1">
      <c r="A183" s="53"/>
      <c r="B183" s="97"/>
      <c r="C183" s="5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ht="12.75" customHeight="1">
      <c r="A184" s="53"/>
      <c r="B184" s="97"/>
      <c r="C184" s="5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ht="12.75" customHeight="1">
      <c r="A185" s="53"/>
      <c r="B185" s="97"/>
      <c r="C185" s="5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ht="12.75" customHeight="1">
      <c r="A186" s="53"/>
      <c r="B186" s="97"/>
      <c r="C186" s="5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ht="12.75" customHeight="1">
      <c r="A187" s="53"/>
      <c r="B187" s="97"/>
      <c r="C187" s="5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ht="12.75" customHeight="1">
      <c r="A188" s="53"/>
      <c r="B188" s="97"/>
      <c r="C188" s="5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ht="12.75" customHeight="1">
      <c r="A189" s="53"/>
      <c r="B189" s="97"/>
      <c r="C189" s="5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ht="12.75" customHeight="1">
      <c r="A190" s="53"/>
      <c r="B190" s="97"/>
      <c r="C190" s="5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ht="12.75" customHeight="1">
      <c r="A191" s="53"/>
      <c r="B191" s="97"/>
      <c r="C191" s="5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ht="12.75" customHeight="1">
      <c r="A192" s="53"/>
      <c r="B192" s="97"/>
      <c r="C192" s="5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ht="12.75" customHeight="1">
      <c r="A193" s="53"/>
      <c r="B193" s="97"/>
      <c r="C193" s="5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ht="12.75" customHeight="1">
      <c r="A194" s="53"/>
      <c r="B194" s="97"/>
      <c r="C194" s="5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ht="12.75" customHeight="1">
      <c r="A195" s="53"/>
      <c r="B195" s="97"/>
      <c r="C195" s="5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ht="12.75" customHeight="1">
      <c r="A196" s="53"/>
      <c r="B196" s="97"/>
      <c r="C196" s="5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ht="12.75" customHeight="1">
      <c r="A197" s="53"/>
      <c r="B197" s="97"/>
      <c r="C197" s="5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ht="12.75" customHeight="1">
      <c r="A198" s="53"/>
      <c r="B198" s="97"/>
      <c r="C198" s="5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ht="12.75" customHeight="1">
      <c r="A199" s="53"/>
      <c r="B199" s="97"/>
      <c r="C199" s="5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ht="12.75" customHeight="1">
      <c r="A200" s="53"/>
      <c r="B200" s="97"/>
      <c r="C200" s="5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ht="12.75" customHeight="1">
      <c r="A201" s="53"/>
      <c r="B201" s="97"/>
      <c r="C201" s="5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ht="12.75" customHeight="1">
      <c r="A202" s="53"/>
      <c r="B202" s="97"/>
      <c r="C202" s="5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ht="12.75" customHeight="1">
      <c r="A203" s="53"/>
      <c r="B203" s="97"/>
      <c r="C203" s="5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ht="12.75" customHeight="1">
      <c r="A204" s="53"/>
      <c r="B204" s="97"/>
      <c r="C204" s="5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ht="12.75" customHeight="1">
      <c r="A205" s="53"/>
      <c r="B205" s="97"/>
      <c r="C205" s="5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ht="12.75" customHeight="1">
      <c r="A206" s="53"/>
      <c r="B206" s="97"/>
      <c r="C206" s="5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ht="12.75" customHeight="1">
      <c r="A207" s="53"/>
      <c r="B207" s="97"/>
      <c r="C207" s="5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ht="12.75" customHeight="1">
      <c r="A208" s="53"/>
      <c r="B208" s="97"/>
      <c r="C208" s="5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ht="12.75" customHeight="1">
      <c r="A209" s="53"/>
      <c r="B209" s="97"/>
      <c r="C209" s="5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ht="12.75" customHeight="1">
      <c r="A210" s="53"/>
      <c r="B210" s="97"/>
      <c r="C210" s="5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ht="12.75" customHeight="1">
      <c r="A211" s="53"/>
      <c r="B211" s="97"/>
      <c r="C211" s="5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ht="12.75" customHeight="1">
      <c r="A212" s="53"/>
      <c r="B212" s="97"/>
      <c r="C212" s="5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ht="12.75" customHeight="1">
      <c r="A213" s="53"/>
      <c r="B213" s="97"/>
      <c r="C213" s="5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ht="12.75" customHeight="1">
      <c r="A214" s="53"/>
      <c r="B214" s="97"/>
      <c r="C214" s="5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ht="12.75" customHeight="1">
      <c r="A215" s="53"/>
      <c r="B215" s="97"/>
      <c r="C215" s="5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ht="12.75" customHeight="1">
      <c r="A216" s="53"/>
      <c r="B216" s="97"/>
      <c r="C216" s="5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ht="12.75" customHeight="1">
      <c r="A217" s="53"/>
      <c r="B217" s="97"/>
      <c r="C217" s="5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ht="12.75" customHeight="1">
      <c r="A218" s="53"/>
      <c r="B218" s="97"/>
      <c r="C218" s="5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ht="12.75" customHeight="1">
      <c r="A219" s="53"/>
      <c r="B219" s="97"/>
      <c r="C219" s="5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ht="12.75" customHeight="1">
      <c r="A220" s="53"/>
      <c r="B220" s="97"/>
      <c r="C220" s="5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ht="12.75" customHeight="1">
      <c r="A221" s="53"/>
      <c r="B221" s="97"/>
      <c r="C221" s="5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ht="12.75" customHeight="1">
      <c r="A222" s="53"/>
      <c r="B222" s="97"/>
      <c r="C222" s="5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ht="12.75" customHeight="1">
      <c r="A223" s="53"/>
      <c r="B223" s="97"/>
      <c r="C223" s="5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ht="12.75" customHeight="1">
      <c r="A224" s="53"/>
      <c r="B224" s="97"/>
      <c r="C224" s="5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ht="12.75" customHeight="1">
      <c r="A225" s="53"/>
      <c r="B225" s="97"/>
      <c r="C225" s="5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ht="12.75" customHeight="1">
      <c r="A226" s="53"/>
      <c r="B226" s="97"/>
      <c r="C226" s="5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ht="12.75" customHeight="1">
      <c r="A227" s="53"/>
      <c r="B227" s="97"/>
      <c r="C227" s="5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ht="12.75" customHeight="1">
      <c r="A228" s="53"/>
      <c r="B228" s="97"/>
      <c r="C228" s="5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ht="12.75" customHeight="1">
      <c r="A229" s="53"/>
      <c r="B229" s="97"/>
      <c r="C229" s="5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ht="12.75" customHeight="1">
      <c r="A230" s="53"/>
      <c r="B230" s="97"/>
      <c r="C230" s="5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ht="12.75" customHeight="1">
      <c r="A231" s="53"/>
      <c r="B231" s="97"/>
      <c r="C231" s="5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ht="12.75" customHeight="1">
      <c r="A232" s="53"/>
      <c r="B232" s="97"/>
      <c r="C232" s="5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ht="12.75" customHeight="1">
      <c r="A233" s="53"/>
      <c r="B233" s="97"/>
      <c r="C233" s="5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ht="12.75" customHeight="1">
      <c r="A234" s="53"/>
      <c r="B234" s="97"/>
      <c r="C234" s="5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ht="12.75" customHeight="1">
      <c r="A235" s="53"/>
      <c r="B235" s="97"/>
      <c r="C235" s="5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ht="12.75" customHeight="1">
      <c r="A236" s="53"/>
      <c r="B236" s="97"/>
      <c r="C236" s="5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ht="12.75" customHeight="1">
      <c r="A237" s="53"/>
      <c r="B237" s="97"/>
      <c r="C237" s="5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ht="12.75" customHeight="1">
      <c r="A238" s="53"/>
      <c r="B238" s="97"/>
      <c r="C238" s="5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ht="12.75" customHeight="1">
      <c r="A239" s="53"/>
      <c r="B239" s="97"/>
      <c r="C239" s="5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ht="12.75" customHeight="1">
      <c r="A240" s="53"/>
      <c r="B240" s="97"/>
      <c r="C240" s="5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ht="12.75" customHeight="1">
      <c r="A241" s="53"/>
      <c r="B241" s="97"/>
      <c r="C241" s="5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ht="12.75" customHeight="1">
      <c r="A242" s="53"/>
      <c r="B242" s="97"/>
      <c r="C242" s="5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ht="12.75" customHeight="1">
      <c r="A243" s="53"/>
      <c r="B243" s="97"/>
      <c r="C243" s="5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ht="12.75" customHeight="1">
      <c r="A244" s="53"/>
      <c r="B244" s="97"/>
      <c r="C244" s="5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ht="12.75" customHeight="1">
      <c r="A245" s="53"/>
      <c r="B245" s="97"/>
      <c r="C245" s="5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ht="12.75" customHeight="1">
      <c r="A246" s="53"/>
      <c r="B246" s="97"/>
      <c r="C246" s="5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ht="12.75" customHeight="1">
      <c r="A247" s="53"/>
      <c r="B247" s="97"/>
      <c r="C247" s="5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ht="12.75" customHeight="1">
      <c r="A248" s="53"/>
      <c r="B248" s="97"/>
      <c r="C248" s="5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ht="12.75" customHeight="1">
      <c r="A249" s="53"/>
      <c r="B249" s="97"/>
      <c r="C249" s="5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ht="12.75" customHeight="1">
      <c r="A250" s="53"/>
      <c r="B250" s="97"/>
      <c r="C250" s="5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ht="12.75" customHeight="1">
      <c r="A251" s="53"/>
      <c r="B251" s="97"/>
      <c r="C251" s="5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ht="12.75" customHeight="1">
      <c r="A252" s="53"/>
      <c r="B252" s="97"/>
      <c r="C252" s="5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ht="12.75" customHeight="1">
      <c r="A253" s="53"/>
      <c r="B253" s="97"/>
      <c r="C253" s="5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ht="12.75" customHeight="1">
      <c r="A254" s="53"/>
      <c r="B254" s="97"/>
      <c r="C254" s="5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ht="12.75" customHeight="1">
      <c r="A255" s="53"/>
      <c r="B255" s="97"/>
      <c r="C255" s="5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ht="12.75" customHeight="1">
      <c r="A256" s="53"/>
      <c r="B256" s="97"/>
      <c r="C256" s="5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ht="12.75" customHeight="1">
      <c r="A257" s="53"/>
      <c r="B257" s="97"/>
      <c r="C257" s="5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ht="12.75" customHeight="1">
      <c r="A258" s="53"/>
      <c r="B258" s="97"/>
      <c r="C258" s="5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ht="12.75" customHeight="1">
      <c r="A259" s="53"/>
      <c r="B259" s="97"/>
      <c r="C259" s="5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ht="12.75" customHeight="1">
      <c r="A260" s="53"/>
      <c r="B260" s="97"/>
      <c r="C260" s="5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ht="12.75" customHeight="1">
      <c r="A261" s="53"/>
      <c r="B261" s="97"/>
      <c r="C261" s="5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ht="12.75" customHeight="1">
      <c r="A262" s="53"/>
      <c r="B262" s="97"/>
      <c r="C262" s="5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ht="12.75" customHeight="1">
      <c r="A263" s="53"/>
      <c r="B263" s="97"/>
      <c r="C263" s="5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ht="12.75" customHeight="1">
      <c r="A264" s="53"/>
      <c r="B264" s="97"/>
      <c r="C264" s="5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ht="12.75" customHeight="1">
      <c r="A265" s="53"/>
      <c r="B265" s="97"/>
      <c r="C265" s="5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ht="12.75" customHeight="1">
      <c r="A266" s="53"/>
      <c r="B266" s="97"/>
      <c r="C266" s="5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ht="12.75" customHeight="1">
      <c r="A267" s="53"/>
      <c r="B267" s="97"/>
      <c r="C267" s="5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ht="12.75" customHeight="1">
      <c r="A268" s="53"/>
      <c r="B268" s="97"/>
      <c r="C268" s="5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ht="12.75" customHeight="1">
      <c r="A269" s="53"/>
      <c r="B269" s="97"/>
      <c r="C269" s="5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ht="12.75" customHeight="1">
      <c r="A270" s="53"/>
      <c r="B270" s="97"/>
      <c r="C270" s="5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ht="12.75" customHeight="1">
      <c r="A271" s="53"/>
      <c r="B271" s="97"/>
      <c r="C271" s="5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</sheetData>
  <mergeCells count="10">
    <mergeCell ref="C71:C72"/>
    <mergeCell ref="D71:D72"/>
    <mergeCell ref="E71:E72"/>
    <mergeCell ref="A1:B4"/>
    <mergeCell ref="F8:AN9"/>
    <mergeCell ref="E48:G48"/>
    <mergeCell ref="E50:E51"/>
    <mergeCell ref="F50:F51"/>
    <mergeCell ref="G50:G51"/>
    <mergeCell ref="C69:E69"/>
  </mergeCells>
  <printOptions/>
  <pageMargins bottom="0.75" footer="0.0" header="0.0" left="0.7" right="0.7" top="0.75"/>
  <pageSetup orientation="landscape"/>
  <drawing r:id="rId2"/>
  <legacyDrawing r:id="rId3"/>
</worksheet>
</file>